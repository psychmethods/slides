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O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00FFFFFF"/>
      <sz val="12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3" fillId="3" borderId="0" pivotButton="0" quotePrefix="0" xfId="0"/>
    <xf numFmtId="0" fontId="1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Setosa</t>
        </is>
      </c>
      <c r="B1" s="1" t="inlineStr">
        <is>
          <t>Versicolor</t>
        </is>
      </c>
      <c r="C1" s="1" t="inlineStr">
        <is>
          <t>Virginica</t>
        </is>
      </c>
    </row>
    <row r="2">
      <c r="A2" t="n">
        <v>5.1</v>
      </c>
      <c r="B2" t="n">
        <v>7</v>
      </c>
      <c r="C2" t="n">
        <v>6.3</v>
      </c>
    </row>
    <row r="3">
      <c r="A3" t="n">
        <v>4.9</v>
      </c>
      <c r="B3" t="n">
        <v>6.4</v>
      </c>
      <c r="C3" t="n">
        <v>5.8</v>
      </c>
    </row>
    <row r="4">
      <c r="A4" t="n">
        <v>4.7</v>
      </c>
      <c r="B4" t="n">
        <v>6.9</v>
      </c>
      <c r="C4" t="n">
        <v>7.1</v>
      </c>
    </row>
    <row r="5">
      <c r="A5" t="n">
        <v>4.6</v>
      </c>
      <c r="B5" t="n">
        <v>5.5</v>
      </c>
      <c r="C5" t="n">
        <v>6.3</v>
      </c>
    </row>
    <row r="6">
      <c r="A6" t="n">
        <v>5</v>
      </c>
      <c r="B6" t="n">
        <v>6.5</v>
      </c>
      <c r="C6" t="n">
        <v>6.5</v>
      </c>
    </row>
    <row r="7">
      <c r="A7" t="n">
        <v>5.4</v>
      </c>
      <c r="B7" t="n">
        <v>5.7</v>
      </c>
      <c r="C7" t="n">
        <v>7.6</v>
      </c>
    </row>
    <row r="8">
      <c r="A8" t="n">
        <v>4.6</v>
      </c>
      <c r="B8" t="n">
        <v>6.3</v>
      </c>
      <c r="C8" t="n">
        <v>4.9</v>
      </c>
    </row>
    <row r="9">
      <c r="A9" t="n">
        <v>5</v>
      </c>
      <c r="B9" t="n">
        <v>4.9</v>
      </c>
      <c r="C9" t="n">
        <v>7.3</v>
      </c>
    </row>
    <row r="10">
      <c r="A10" t="n">
        <v>4.4</v>
      </c>
      <c r="B10" t="n">
        <v>6.6</v>
      </c>
      <c r="C10" t="n">
        <v>6.7</v>
      </c>
    </row>
    <row r="11">
      <c r="A11" t="n">
        <v>4.9</v>
      </c>
      <c r="B11" t="n">
        <v>5.2</v>
      </c>
      <c r="C11" t="n">
        <v>7.2</v>
      </c>
    </row>
    <row r="12">
      <c r="A12" t="n">
        <v>5.4</v>
      </c>
      <c r="B12" t="n">
        <v>5</v>
      </c>
      <c r="C12" t="n">
        <v>6.5</v>
      </c>
    </row>
    <row r="13">
      <c r="A13" t="n">
        <v>4.8</v>
      </c>
      <c r="B13" t="n">
        <v>5.9</v>
      </c>
      <c r="C13" t="n">
        <v>6.4</v>
      </c>
    </row>
    <row r="14">
      <c r="A14" t="n">
        <v>4.8</v>
      </c>
      <c r="B14" t="n">
        <v>6</v>
      </c>
      <c r="C14" t="n">
        <v>6.8</v>
      </c>
    </row>
    <row r="15">
      <c r="A15" t="n">
        <v>4.3</v>
      </c>
      <c r="B15" t="n">
        <v>6.1</v>
      </c>
      <c r="C15" t="n">
        <v>5.7</v>
      </c>
    </row>
    <row r="16">
      <c r="A16" t="n">
        <v>5.8</v>
      </c>
      <c r="B16" t="n">
        <v>5.6</v>
      </c>
      <c r="C16" t="n">
        <v>5.8</v>
      </c>
    </row>
    <row r="17">
      <c r="A17" t="n">
        <v>5.7</v>
      </c>
      <c r="B17" t="n">
        <v>6.7</v>
      </c>
      <c r="C17" t="n">
        <v>6.4</v>
      </c>
    </row>
    <row r="18">
      <c r="A18" t="n">
        <v>5.4</v>
      </c>
      <c r="B18" t="n">
        <v>5.6</v>
      </c>
      <c r="C18" t="n">
        <v>6.5</v>
      </c>
    </row>
    <row r="19">
      <c r="A19" t="n">
        <v>5.1</v>
      </c>
      <c r="B19" t="n">
        <v>5.8</v>
      </c>
      <c r="C19" t="n">
        <v>7.7</v>
      </c>
    </row>
    <row r="20">
      <c r="A20" t="n">
        <v>5.7</v>
      </c>
      <c r="B20" t="n">
        <v>6.2</v>
      </c>
      <c r="C20" t="n">
        <v>7.7</v>
      </c>
    </row>
    <row r="21">
      <c r="A21" t="n">
        <v>5.1</v>
      </c>
      <c r="B21" t="n">
        <v>5.6</v>
      </c>
      <c r="C21" t="n">
        <v>6</v>
      </c>
    </row>
    <row r="22">
      <c r="A22" t="n">
        <v>5.4</v>
      </c>
      <c r="B22" t="n">
        <v>5.9</v>
      </c>
      <c r="C22" t="n">
        <v>6.9</v>
      </c>
    </row>
    <row r="23">
      <c r="A23" t="n">
        <v>5.1</v>
      </c>
      <c r="B23" t="n">
        <v>6.1</v>
      </c>
      <c r="C23" t="n">
        <v>5.6</v>
      </c>
    </row>
    <row r="24">
      <c r="A24" t="n">
        <v>4.6</v>
      </c>
      <c r="B24" t="n">
        <v>6.3</v>
      </c>
      <c r="C24" t="n">
        <v>7.7</v>
      </c>
    </row>
    <row r="25">
      <c r="A25" t="n">
        <v>5.1</v>
      </c>
      <c r="B25" t="n">
        <v>6.1</v>
      </c>
      <c r="C25" t="n">
        <v>6.3</v>
      </c>
    </row>
    <row r="26">
      <c r="A26" t="n">
        <v>4.8</v>
      </c>
      <c r="B26" t="n">
        <v>6.4</v>
      </c>
      <c r="C26" t="n">
        <v>6.7</v>
      </c>
    </row>
    <row r="27">
      <c r="A27" t="n">
        <v>5</v>
      </c>
      <c r="B27" t="n">
        <v>6.6</v>
      </c>
      <c r="C27" t="n">
        <v>7.2</v>
      </c>
    </row>
    <row r="28">
      <c r="A28" t="n">
        <v>5</v>
      </c>
      <c r="B28" t="n">
        <v>6.8</v>
      </c>
      <c r="C28" t="n">
        <v>6.2</v>
      </c>
    </row>
    <row r="29">
      <c r="A29" t="n">
        <v>5.2</v>
      </c>
      <c r="B29" t="n">
        <v>6.7</v>
      </c>
      <c r="C29" t="n">
        <v>6.1</v>
      </c>
    </row>
    <row r="30">
      <c r="A30" t="n">
        <v>5.2</v>
      </c>
      <c r="B30" t="n">
        <v>6</v>
      </c>
      <c r="C30" t="n">
        <v>6.4</v>
      </c>
    </row>
    <row r="31">
      <c r="A31" t="n">
        <v>4.7</v>
      </c>
      <c r="B31" t="n">
        <v>5.7</v>
      </c>
      <c r="C31" t="n">
        <v>7.2</v>
      </c>
    </row>
    <row r="32">
      <c r="A32" t="n">
        <v>4.8</v>
      </c>
      <c r="B32" t="n">
        <v>5.5</v>
      </c>
      <c r="C32" t="n">
        <v>7.4</v>
      </c>
    </row>
    <row r="33">
      <c r="A33" t="n">
        <v>5.4</v>
      </c>
      <c r="B33" t="n">
        <v>5.5</v>
      </c>
      <c r="C33" t="n">
        <v>7.9</v>
      </c>
    </row>
    <row r="34">
      <c r="A34" t="n">
        <v>5.2</v>
      </c>
      <c r="B34" t="n">
        <v>5.8</v>
      </c>
      <c r="C34" t="n">
        <v>6.4</v>
      </c>
    </row>
    <row r="35">
      <c r="A35" t="n">
        <v>5.5</v>
      </c>
      <c r="B35" t="n">
        <v>6</v>
      </c>
      <c r="C35" t="n">
        <v>6.3</v>
      </c>
    </row>
    <row r="36">
      <c r="A36" t="n">
        <v>4.9</v>
      </c>
      <c r="B36" t="n">
        <v>5.4</v>
      </c>
      <c r="C36" t="n">
        <v>6.1</v>
      </c>
    </row>
    <row r="37">
      <c r="A37" t="n">
        <v>5</v>
      </c>
      <c r="B37" t="n">
        <v>6</v>
      </c>
      <c r="C37" t="n">
        <v>7.7</v>
      </c>
    </row>
    <row r="38">
      <c r="A38" t="n">
        <v>5.5</v>
      </c>
      <c r="B38" t="n">
        <v>6.7</v>
      </c>
      <c r="C38" t="n">
        <v>6.3</v>
      </c>
    </row>
    <row r="39">
      <c r="A39" t="n">
        <v>4.9</v>
      </c>
      <c r="B39" t="n">
        <v>6.3</v>
      </c>
      <c r="C39" t="n">
        <v>6.4</v>
      </c>
    </row>
    <row r="40">
      <c r="A40" t="n">
        <v>4.4</v>
      </c>
      <c r="B40" t="n">
        <v>5.6</v>
      </c>
      <c r="C40" t="n">
        <v>6</v>
      </c>
    </row>
    <row r="41">
      <c r="A41" t="n">
        <v>5.1</v>
      </c>
      <c r="B41" t="n">
        <v>5.5</v>
      </c>
      <c r="C41" t="n">
        <v>6.9</v>
      </c>
    </row>
    <row r="42">
      <c r="A42" t="n">
        <v>5</v>
      </c>
      <c r="B42" t="n">
        <v>5.5</v>
      </c>
      <c r="C42" t="n">
        <v>6.7</v>
      </c>
    </row>
    <row r="43">
      <c r="A43" t="n">
        <v>4.5</v>
      </c>
      <c r="B43" t="n">
        <v>6.1</v>
      </c>
      <c r="C43" t="n">
        <v>6.9</v>
      </c>
    </row>
    <row r="44">
      <c r="A44" t="n">
        <v>4.4</v>
      </c>
      <c r="B44" t="n">
        <v>5.8</v>
      </c>
      <c r="C44" t="n">
        <v>5.8</v>
      </c>
    </row>
    <row r="45">
      <c r="A45" t="n">
        <v>5</v>
      </c>
      <c r="B45" t="n">
        <v>5</v>
      </c>
      <c r="C45" t="n">
        <v>6.8</v>
      </c>
    </row>
    <row r="46">
      <c r="A46" t="n">
        <v>5.1</v>
      </c>
      <c r="B46" t="n">
        <v>5.6</v>
      </c>
      <c r="C46" t="n">
        <v>6.7</v>
      </c>
    </row>
    <row r="47">
      <c r="A47" t="n">
        <v>4.8</v>
      </c>
      <c r="B47" t="n">
        <v>5.7</v>
      </c>
      <c r="C47" t="n">
        <v>6.7</v>
      </c>
    </row>
    <row r="48">
      <c r="A48" t="n">
        <v>5.1</v>
      </c>
      <c r="B48" t="n">
        <v>5.7</v>
      </c>
      <c r="C48" t="n">
        <v>6.3</v>
      </c>
    </row>
    <row r="49">
      <c r="A49" t="n">
        <v>4.6</v>
      </c>
      <c r="B49" t="n">
        <v>6.2</v>
      </c>
      <c r="C49" t="n">
        <v>6.5</v>
      </c>
    </row>
    <row r="50">
      <c r="A50" t="n">
        <v>5.3</v>
      </c>
      <c r="B50" t="n">
        <v>5.1</v>
      </c>
      <c r="C50" t="n">
        <v>6.2</v>
      </c>
    </row>
    <row r="51">
      <c r="A51" t="n">
        <v>5</v>
      </c>
      <c r="B51" t="n">
        <v>5.7</v>
      </c>
      <c r="C51" t="n">
        <v>5.9</v>
      </c>
    </row>
    <row r="54">
      <c r="A54" s="2" t="inlineStr">
        <is>
          <t>Group Statistics</t>
        </is>
      </c>
    </row>
    <row r="55">
      <c r="A55" s="3" t="inlineStr">
        <is>
          <t>Group</t>
        </is>
      </c>
      <c r="B55" s="3" t="inlineStr">
        <is>
          <t>Count</t>
        </is>
      </c>
      <c r="C55" s="3" t="inlineStr">
        <is>
          <t>Mean</t>
        </is>
      </c>
      <c r="D55" s="3" t="inlineStr">
        <is>
          <t>Variance</t>
        </is>
      </c>
    </row>
    <row r="56">
      <c r="A56" t="inlineStr">
        <is>
          <t>Setosa</t>
        </is>
      </c>
      <c r="B56">
        <f>COUNT(A2:A51)</f>
        <v/>
      </c>
      <c r="C56">
        <f>AVERAGE(A2:A51)</f>
        <v/>
      </c>
      <c r="D56">
        <f>VAR.S(A2:A51)</f>
        <v/>
      </c>
    </row>
    <row r="57">
      <c r="A57" t="inlineStr">
        <is>
          <t>Versicolor</t>
        </is>
      </c>
      <c r="B57">
        <f>COUNT(B2:B51)</f>
        <v/>
      </c>
      <c r="C57">
        <f>AVERAGE(B2:B51)</f>
        <v/>
      </c>
      <c r="D57">
        <f>VAR.S(B2:B51)</f>
        <v/>
      </c>
    </row>
    <row r="58">
      <c r="A58" t="inlineStr">
        <is>
          <t>Virginica</t>
        </is>
      </c>
      <c r="B58">
        <f>COUNT(C2:C51)</f>
        <v/>
      </c>
      <c r="C58">
        <f>AVERAGE(C2:C51)</f>
        <v/>
      </c>
      <c r="D58">
        <f>VAR.S(C2:C51)</f>
        <v/>
      </c>
    </row>
    <row r="60">
      <c r="A60" s="2" t="inlineStr">
        <is>
          <t>ANOVA Table</t>
        </is>
      </c>
    </row>
    <row r="61">
      <c r="A61" s="3" t="inlineStr">
        <is>
          <t>Source</t>
        </is>
      </c>
      <c r="B61" s="3" t="inlineStr">
        <is>
          <t>SS</t>
        </is>
      </c>
      <c r="C61" s="3" t="inlineStr">
        <is>
          <t>df</t>
        </is>
      </c>
      <c r="D61" s="3" t="inlineStr">
        <is>
          <t>MS</t>
        </is>
      </c>
      <c r="E61" s="3" t="inlineStr">
        <is>
          <t>F</t>
        </is>
      </c>
      <c r="F61" s="3" t="inlineStr">
        <is>
          <t>P-value</t>
        </is>
      </c>
    </row>
    <row r="62">
      <c r="A62" t="inlineStr">
        <is>
          <t>Between Groups</t>
        </is>
      </c>
      <c r="B62">
        <f>B56*(C56-=(B56*C56+B57*C57+B58*C58)/(B56+B57+B58))^2+B57*(C57-=(B56*C56+B57*C57+B58*C58)/(B56+B57+B58))^2+B58*(C58-=(B56*C56+B57*C57+B58*C58)/(B56+B57+B58))^2</f>
        <v/>
      </c>
      <c r="C62" t="inlineStr">
        <is>
          <t>2</t>
        </is>
      </c>
      <c r="D62">
        <f>B62/C62</f>
        <v/>
      </c>
      <c r="E62">
        <f>D62/D63</f>
        <v/>
      </c>
      <c r="F62">
        <f>F.DIST.RT(E62,C62,C63)</f>
        <v/>
      </c>
    </row>
    <row r="63">
      <c r="A63" t="inlineStr">
        <is>
          <t>Within Groups</t>
        </is>
      </c>
      <c r="B63">
        <f>(B56-1)*D56+(B57-1)*D57+(B58-1)*D58</f>
        <v/>
      </c>
      <c r="C63">
        <f>B56+B57+B58-3</f>
        <v/>
      </c>
      <c r="D63">
        <f>B63/C63</f>
        <v/>
      </c>
    </row>
    <row r="64">
      <c r="A64" t="inlineStr">
        <is>
          <t>Total</t>
        </is>
      </c>
      <c r="B64">
        <f>B62+B63</f>
        <v/>
      </c>
      <c r="C64">
        <f>C62+C63</f>
        <v/>
      </c>
    </row>
    <row r="66">
      <c r="A66" t="inlineStr">
        <is>
          <t>Conclusion (α=0.05)</t>
        </is>
      </c>
      <c r="B66">
        <f>IF(F62&lt;0.05,"Reject H₀: At least one mean differs","Fail to reject H₀: All means equal")</f>
        <v/>
      </c>
    </row>
    <row r="68">
      <c r="A68" s="4" t="inlineStr">
        <is>
          <t>Note: You can also use Excel's Data Analysis ToolPak</t>
        </is>
      </c>
    </row>
    <row r="69">
      <c r="A69" s="4" t="inlineStr">
        <is>
          <t>(Data &gt; Data Analysis &gt; ANOVA: Single Factor)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2026-02-11T00:29:13Z</dcterms:created>
  <dcterms:modified xsi:type="dcterms:W3CDTF">2026-02-11T00:29:13Z</dcterms:modified>
</cp:coreProperties>
</file>